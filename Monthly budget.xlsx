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ocuments\GitHub\Excel-course\"/>
    </mc:Choice>
  </mc:AlternateContent>
  <xr:revisionPtr revIDLastSave="0" documentId="13_ncr:1_{8B53B0E3-EF9E-409F-8D3A-EF4FD8FC104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onthly Budget" sheetId="1" r:id="rId1"/>
    <sheet name="Chart Monthly Budg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D10" i="1"/>
  <c r="E10" i="1"/>
  <c r="C10" i="1"/>
  <c r="E15" i="1"/>
  <c r="E14" i="1"/>
  <c r="E13" i="1"/>
  <c r="E12" i="1"/>
  <c r="D15" i="1"/>
  <c r="D14" i="1"/>
  <c r="D13" i="1"/>
  <c r="D12" i="1"/>
  <c r="C14" i="1"/>
  <c r="C15" i="1"/>
  <c r="C13" i="1"/>
  <c r="C12" i="1"/>
  <c r="F12" i="1" l="1"/>
  <c r="F13" i="1"/>
  <c r="F14" i="1"/>
  <c r="F10" i="1"/>
  <c r="F15" i="1"/>
  <c r="G7" i="1" l="1"/>
  <c r="G6" i="1"/>
  <c r="G8" i="1"/>
  <c r="G9" i="1"/>
  <c r="G5" i="1"/>
  <c r="G10" i="1" l="1"/>
  <c r="G12" i="1" s="1"/>
  <c r="G13" i="1" l="1"/>
  <c r="G15" i="1"/>
  <c r="G14" i="1"/>
</calcChain>
</file>

<file path=xl/sharedStrings.xml><?xml version="1.0" encoding="utf-8"?>
<sst xmlns="http://schemas.openxmlformats.org/spreadsheetml/2006/main" count="15" uniqueCount="14">
  <si>
    <t>Monthly Budget</t>
  </si>
  <si>
    <t>Bills</t>
  </si>
  <si>
    <t>Rent</t>
  </si>
  <si>
    <t>Phone</t>
  </si>
  <si>
    <t>Credit Cards</t>
  </si>
  <si>
    <t>Food</t>
  </si>
  <si>
    <t>Candy</t>
  </si>
  <si>
    <t>Total</t>
  </si>
  <si>
    <t>Percent</t>
  </si>
  <si>
    <t>MIN</t>
  </si>
  <si>
    <t>MAX</t>
  </si>
  <si>
    <t>AVERAGE</t>
  </si>
  <si>
    <t>COUNT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</si>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</sst>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* #,##0.00_)\ &quot;$&quot;_ ;_ * \(#,##0.00\)\ &quot;$&quot;_ ;_ * &quot;-&quot;??_)\ &quot;$&quot;_ ;_ @_ "/>
    <numFmt numFmtId="43" formatCode="_ * #,##0.00_)_ ;_ * \(#,##0.00\)_ ;_ * &quot;-&quot;??_)_ ;_ @_ "/>
    <numFmt numFmtId="164" formatCode="mmm/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0"/>
      <name val="Arial Black"/>
      <family val="2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-0.2499465926084170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5"/>
      </bottom>
      <diagonal/>
    </border>
    <border>
      <left/>
      <right/>
      <top/>
      <bottom style="thick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4" borderId="2" applyNumberFormat="0"/>
  </cellStyleXfs>
  <cellXfs count="8">
    <xf numFmtId="0" fontId="0" fillId="0" borderId="0" xfId="0"/>
    <xf numFmtId="44" fontId="0" fillId="0" borderId="0" xfId="2" applyFont="1"/>
    <xf numFmtId="43" fontId="0" fillId="0" borderId="0" xfId="1" applyFont="1"/>
    <xf numFmtId="0" fontId="2" fillId="3" borderId="0" xfId="0" applyFont="1" applyFill="1" applyAlignment="1">
      <alignment horizontal="right"/>
    </xf>
    <xf numFmtId="0" fontId="4" fillId="4" borderId="2" xfId="4"/>
    <xf numFmtId="164" fontId="4" fillId="4" borderId="2" xfId="4" applyNumberFormat="1"/>
    <xf numFmtId="0" fontId="3" fillId="2" borderId="1" xfId="0" applyFont="1" applyFill="1" applyBorder="1" applyAlignment="1">
      <alignment horizontal="center"/>
    </xf>
    <xf numFmtId="10" fontId="0" fillId="0" borderId="0" xfId="3" applyNumberFormat="1" applyFont="1"/>
  </cellXfs>
  <cellStyles count="5">
    <cellStyle name="Comma" xfId="1" builtinId="3"/>
    <cellStyle name="Currency" xfId="2" builtinId="4"/>
    <cellStyle name="Normal" xfId="0" builtinId="0"/>
    <cellStyle name="Percent" xfId="3" builtinId="5"/>
    <cellStyle name="Style 1" xfId="4" xr:uid="{0410552E-9E3F-4ADD-901A-D3FDD8F6AEC0}"/>
  </cellStyles>
  <dxfs count="1">
    <dxf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'Monthly Budget'!$B$2</c:f>
          <c:strCache>
            <c:ptCount val="1"/>
            <c:pt idx="0">
              <c:v>Monthly Budget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Budget'!$B$5</c:f>
              <c:strCache>
                <c:ptCount val="1"/>
                <c:pt idx="0">
                  <c:v>Rent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'Monthly Budget'!$C$4:$E$4</c:f>
              <c:numCache>
                <c:formatCode>mmm/aaaa</c:formatCode>
                <c:ptCount val="3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</c:numCache>
            </c:numRef>
          </c:cat>
          <c:val>
            <c:numRef>
              <c:f>'Monthly Budget'!$C$5:$E$5</c:f>
              <c:numCache>
                <c:formatCode>_("$"* #,##0.00_);_("$"* \(#,##0.00\);_("$"* "-"??_);_(@_)</c:formatCode>
                <c:ptCount val="3"/>
                <c:pt idx="0">
                  <c:v>1000</c:v>
                </c:pt>
                <c:pt idx="1">
                  <c:v>1000</c:v>
                </c:pt>
                <c:pt idx="2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F-4B96-A865-AC3A48A0A1BF}"/>
            </c:ext>
          </c:extLst>
        </c:ser>
        <c:ser>
          <c:idx val="1"/>
          <c:order val="1"/>
          <c:tx>
            <c:strRef>
              <c:f>'Monthly Budget'!$B$6</c:f>
              <c:strCache>
                <c:ptCount val="1"/>
                <c:pt idx="0">
                  <c:v>Phone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'Monthly Budget'!$C$4:$E$4</c:f>
              <c:numCache>
                <c:formatCode>mmm/aaaa</c:formatCode>
                <c:ptCount val="3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</c:numCache>
            </c:numRef>
          </c:cat>
          <c:val>
            <c:numRef>
              <c:f>'Monthly Budget'!$C$6:$E$6</c:f>
              <c:numCache>
                <c:formatCode>_(* #,##0.00_);_(* \(#,##0.00\);_(* "-"??_);_(@_)</c:formatCode>
                <c:ptCount val="3"/>
                <c:pt idx="0">
                  <c:v>125</c:v>
                </c:pt>
                <c:pt idx="1">
                  <c:v>125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6F-4B96-A865-AC3A48A0A1BF}"/>
            </c:ext>
          </c:extLst>
        </c:ser>
        <c:ser>
          <c:idx val="2"/>
          <c:order val="2"/>
          <c:tx>
            <c:strRef>
              <c:f>'Monthly Budget'!$B$8</c:f>
              <c:strCache>
                <c:ptCount val="1"/>
                <c:pt idx="0">
                  <c:v>Food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'Monthly Budget'!$C$4:$E$4</c:f>
              <c:numCache>
                <c:formatCode>mmm/aaaa</c:formatCode>
                <c:ptCount val="3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</c:numCache>
            </c:numRef>
          </c:cat>
          <c:val>
            <c:numRef>
              <c:f>'Monthly Budget'!$C$8:$E$8</c:f>
              <c:numCache>
                <c:formatCode>_(* #,##0.00_);_(* \(#,##0.00\);_(* "-"??_);_(@_)</c:formatCode>
                <c:ptCount val="3"/>
                <c:pt idx="0">
                  <c:v>200</c:v>
                </c:pt>
                <c:pt idx="1">
                  <c:v>275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6F-4B96-A865-AC3A48A0A1BF}"/>
            </c:ext>
          </c:extLst>
        </c:ser>
        <c:ser>
          <c:idx val="3"/>
          <c:order val="3"/>
          <c:tx>
            <c:strRef>
              <c:f>'Monthly Budget'!$B$9</c:f>
              <c:strCache>
                <c:ptCount val="1"/>
                <c:pt idx="0">
                  <c:v>Candy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'Monthly Budget'!$C$4:$E$4</c:f>
              <c:numCache>
                <c:formatCode>mmm/aaaa</c:formatCode>
                <c:ptCount val="3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</c:numCache>
            </c:numRef>
          </c:cat>
          <c:val>
            <c:numRef>
              <c:f>'Monthly Budget'!$C$9:$E$9</c:f>
              <c:numCache>
                <c:formatCode>_(* #,##0.00_);_(* \(#,##0.00\);_(* "-"??_);_(@_)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6F-4B96-A865-AC3A48A0A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28153472"/>
        <c:axId val="1328153056"/>
      </c:barChart>
      <c:catAx>
        <c:axId val="1328153472"/>
        <c:scaling>
          <c:orientation val="minMax"/>
        </c:scaling>
        <c:delete val="0"/>
        <c:axPos val="b"/>
        <c:numFmt formatCode="mmm/aaaa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28153056"/>
        <c:crosses val="autoZero"/>
        <c:auto val="0"/>
        <c:lblAlgn val="ctr"/>
        <c:lblOffset val="100"/>
        <c:noMultiLvlLbl val="0"/>
      </c:catAx>
      <c:valAx>
        <c:axId val="132815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2815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EB67D75-6DF7-40B5-9C95-7F7F89647A6A}">
  <sheetPr/>
  <sheetViews>
    <sheetView tabSelected="1" zoomScale="117" workbookViewId="0" zoomToFit="1"/>
  </sheetViews>
  <pageMargins left="0.7" right="0.7" top="0.75" bottom="0.75" header="0.3" footer="0.3"/>
  <drawing r:id="rId1"/>
</chartsheet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3FC4F408-67D0-463B-85DA-C5D6C69110E6}" type="doc">
      <dgm:prSet loTypeId="urn:microsoft.com/office/officeart/2005/8/layout/hProcess9" loCatId="process" qsTypeId="urn:microsoft.com/office/officeart/2005/8/quickstyle/simple1" qsCatId="simple" csTypeId="urn:microsoft.com/office/officeart/2005/8/colors/accent1_2" csCatId="accent1" phldr="1"/>
      <dgm:spPr/>
    </dgm:pt>
    <dgm:pt modelId="{380396C9-003D-4289-9D0E-33251BE506DD}">
      <dgm:prSet phldrT="[Text]"/>
      <dgm:spPr/>
      <dgm:t>
        <a:bodyPr/>
        <a:lstStyle/>
        <a:p>
          <a:r>
            <a:rPr lang="fr-CA"/>
            <a:t>Make Money</a:t>
          </a:r>
        </a:p>
      </dgm:t>
    </dgm:pt>
    <dgm:pt modelId="{DD9D5A6B-D66C-4FF1-A52B-6097E6442A97}" type="parTrans" cxnId="{71769A31-2E31-4AF1-A759-60550A938C69}">
      <dgm:prSet/>
      <dgm:spPr/>
      <dgm:t>
        <a:bodyPr/>
        <a:lstStyle/>
        <a:p>
          <a:endParaRPr lang="fr-CA"/>
        </a:p>
      </dgm:t>
    </dgm:pt>
    <dgm:pt modelId="{0BD2D776-ED2F-46E0-A402-FBBFE7EB71B2}" type="sibTrans" cxnId="{71769A31-2E31-4AF1-A759-60550A938C69}">
      <dgm:prSet/>
      <dgm:spPr/>
      <dgm:t>
        <a:bodyPr/>
        <a:lstStyle/>
        <a:p>
          <a:endParaRPr lang="fr-CA"/>
        </a:p>
      </dgm:t>
    </dgm:pt>
    <dgm:pt modelId="{6E24ADEC-573F-484F-9DEE-4ECB996234BF}">
      <dgm:prSet phldrT="[Text]"/>
      <dgm:spPr/>
      <dgm:t>
        <a:bodyPr/>
        <a:lstStyle/>
        <a:p>
          <a:r>
            <a:rPr lang="fr-CA"/>
            <a:t>Spend Money</a:t>
          </a:r>
        </a:p>
      </dgm:t>
    </dgm:pt>
    <dgm:pt modelId="{A05B0B81-8E5C-4EB8-8CFA-D0411BC546FE}" type="parTrans" cxnId="{3EC449EB-6083-4D58-8236-00E003DC2B16}">
      <dgm:prSet/>
      <dgm:spPr/>
      <dgm:t>
        <a:bodyPr/>
        <a:lstStyle/>
        <a:p>
          <a:endParaRPr lang="fr-CA"/>
        </a:p>
      </dgm:t>
    </dgm:pt>
    <dgm:pt modelId="{0C5EA755-EB6A-4043-9449-6B0E8FAD3942}" type="sibTrans" cxnId="{3EC449EB-6083-4D58-8236-00E003DC2B16}">
      <dgm:prSet/>
      <dgm:spPr/>
      <dgm:t>
        <a:bodyPr/>
        <a:lstStyle/>
        <a:p>
          <a:endParaRPr lang="fr-CA"/>
        </a:p>
      </dgm:t>
    </dgm:pt>
    <dgm:pt modelId="{97243D70-704F-4348-807B-5A6A35A763FC}">
      <dgm:prSet phldrT="[Text]"/>
      <dgm:spPr/>
      <dgm:t>
        <a:bodyPr/>
        <a:lstStyle/>
        <a:p>
          <a:r>
            <a:rPr lang="fr-CA"/>
            <a:t>Track Money</a:t>
          </a:r>
        </a:p>
      </dgm:t>
    </dgm:pt>
    <dgm:pt modelId="{9AD34CCA-A402-49DD-83BA-973CA2873FDE}" type="parTrans" cxnId="{A049692A-3E05-401F-92AB-843B3C7CEBD5}">
      <dgm:prSet/>
      <dgm:spPr/>
      <dgm:t>
        <a:bodyPr/>
        <a:lstStyle/>
        <a:p>
          <a:endParaRPr lang="fr-CA"/>
        </a:p>
      </dgm:t>
    </dgm:pt>
    <dgm:pt modelId="{D69AF2F8-0BB6-450D-BEC9-29167B73D1DF}" type="sibTrans" cxnId="{A049692A-3E05-401F-92AB-843B3C7CEBD5}">
      <dgm:prSet/>
      <dgm:spPr/>
      <dgm:t>
        <a:bodyPr/>
        <a:lstStyle/>
        <a:p>
          <a:endParaRPr lang="fr-CA"/>
        </a:p>
      </dgm:t>
    </dgm:pt>
    <dgm:pt modelId="{43398BA5-A64D-4B4D-8A40-5097A90F0663}" type="pres">
      <dgm:prSet presAssocID="{3FC4F408-67D0-463B-85DA-C5D6C69110E6}" presName="CompostProcess" presStyleCnt="0">
        <dgm:presLayoutVars>
          <dgm:dir/>
          <dgm:resizeHandles val="exact"/>
        </dgm:presLayoutVars>
      </dgm:prSet>
      <dgm:spPr/>
    </dgm:pt>
    <dgm:pt modelId="{21604E15-F982-4A95-9219-B5B1B773A6C3}" type="pres">
      <dgm:prSet presAssocID="{3FC4F408-67D0-463B-85DA-C5D6C69110E6}" presName="arrow" presStyleLbl="bgShp" presStyleIdx="0" presStyleCnt="1"/>
      <dgm:spPr/>
    </dgm:pt>
    <dgm:pt modelId="{615DF102-4296-4227-87FD-A933DB512F88}" type="pres">
      <dgm:prSet presAssocID="{3FC4F408-67D0-463B-85DA-C5D6C69110E6}" presName="linearProcess" presStyleCnt="0"/>
      <dgm:spPr/>
    </dgm:pt>
    <dgm:pt modelId="{15D8B1E7-2F51-47E4-91BA-98CD53CAD1BA}" type="pres">
      <dgm:prSet presAssocID="{380396C9-003D-4289-9D0E-33251BE506DD}" presName="textNode" presStyleLbl="node1" presStyleIdx="0" presStyleCnt="3">
        <dgm:presLayoutVars>
          <dgm:bulletEnabled val="1"/>
        </dgm:presLayoutVars>
      </dgm:prSet>
      <dgm:spPr/>
    </dgm:pt>
    <dgm:pt modelId="{F888FA04-6C01-492B-A314-9903724AA6F4}" type="pres">
      <dgm:prSet presAssocID="{0BD2D776-ED2F-46E0-A402-FBBFE7EB71B2}" presName="sibTrans" presStyleCnt="0"/>
      <dgm:spPr/>
    </dgm:pt>
    <dgm:pt modelId="{FA56338C-D1EF-4C13-80AB-CFB8489D6B3C}" type="pres">
      <dgm:prSet presAssocID="{6E24ADEC-573F-484F-9DEE-4ECB996234BF}" presName="textNode" presStyleLbl="node1" presStyleIdx="1" presStyleCnt="3">
        <dgm:presLayoutVars>
          <dgm:bulletEnabled val="1"/>
        </dgm:presLayoutVars>
      </dgm:prSet>
      <dgm:spPr/>
    </dgm:pt>
    <dgm:pt modelId="{730B7566-4CF5-4E4B-B2A4-CC2A48DD0877}" type="pres">
      <dgm:prSet presAssocID="{0C5EA755-EB6A-4043-9449-6B0E8FAD3942}" presName="sibTrans" presStyleCnt="0"/>
      <dgm:spPr/>
    </dgm:pt>
    <dgm:pt modelId="{C55D398A-B3FE-437A-8294-400769A5A6FD}" type="pres">
      <dgm:prSet presAssocID="{97243D70-704F-4348-807B-5A6A35A763FC}" presName="textNode" presStyleLbl="node1" presStyleIdx="2" presStyleCnt="3">
        <dgm:presLayoutVars>
          <dgm:bulletEnabled val="1"/>
        </dgm:presLayoutVars>
      </dgm:prSet>
      <dgm:spPr/>
    </dgm:pt>
  </dgm:ptLst>
  <dgm:cxnLst>
    <dgm:cxn modelId="{DE2D670B-55F2-445D-8779-A42BEC91FD87}" type="presOf" srcId="{6E24ADEC-573F-484F-9DEE-4ECB996234BF}" destId="{FA56338C-D1EF-4C13-80AB-CFB8489D6B3C}" srcOrd="0" destOrd="0" presId="urn:microsoft.com/office/officeart/2005/8/layout/hProcess9"/>
    <dgm:cxn modelId="{A049692A-3E05-401F-92AB-843B3C7CEBD5}" srcId="{3FC4F408-67D0-463B-85DA-C5D6C69110E6}" destId="{97243D70-704F-4348-807B-5A6A35A763FC}" srcOrd="2" destOrd="0" parTransId="{9AD34CCA-A402-49DD-83BA-973CA2873FDE}" sibTransId="{D69AF2F8-0BB6-450D-BEC9-29167B73D1DF}"/>
    <dgm:cxn modelId="{71769A31-2E31-4AF1-A759-60550A938C69}" srcId="{3FC4F408-67D0-463B-85DA-C5D6C69110E6}" destId="{380396C9-003D-4289-9D0E-33251BE506DD}" srcOrd="0" destOrd="0" parTransId="{DD9D5A6B-D66C-4FF1-A52B-6097E6442A97}" sibTransId="{0BD2D776-ED2F-46E0-A402-FBBFE7EB71B2}"/>
    <dgm:cxn modelId="{BDE3B338-3B9B-4717-A9D2-2B6DDD8E4F1C}" type="presOf" srcId="{97243D70-704F-4348-807B-5A6A35A763FC}" destId="{C55D398A-B3FE-437A-8294-400769A5A6FD}" srcOrd="0" destOrd="0" presId="urn:microsoft.com/office/officeart/2005/8/layout/hProcess9"/>
    <dgm:cxn modelId="{D10CEEA2-1FC2-4D24-BF73-BE83D97A60DB}" type="presOf" srcId="{3FC4F408-67D0-463B-85DA-C5D6C69110E6}" destId="{43398BA5-A64D-4B4D-8A40-5097A90F0663}" srcOrd="0" destOrd="0" presId="urn:microsoft.com/office/officeart/2005/8/layout/hProcess9"/>
    <dgm:cxn modelId="{3EC449EB-6083-4D58-8236-00E003DC2B16}" srcId="{3FC4F408-67D0-463B-85DA-C5D6C69110E6}" destId="{6E24ADEC-573F-484F-9DEE-4ECB996234BF}" srcOrd="1" destOrd="0" parTransId="{A05B0B81-8E5C-4EB8-8CFA-D0411BC546FE}" sibTransId="{0C5EA755-EB6A-4043-9449-6B0E8FAD3942}"/>
    <dgm:cxn modelId="{959A06F0-A2A6-4680-8DD9-E92574AF8318}" type="presOf" srcId="{380396C9-003D-4289-9D0E-33251BE506DD}" destId="{15D8B1E7-2F51-47E4-91BA-98CD53CAD1BA}" srcOrd="0" destOrd="0" presId="urn:microsoft.com/office/officeart/2005/8/layout/hProcess9"/>
    <dgm:cxn modelId="{14956F13-D1F1-4259-8C5E-40574AFAD79F}" type="presParOf" srcId="{43398BA5-A64D-4B4D-8A40-5097A90F0663}" destId="{21604E15-F982-4A95-9219-B5B1B773A6C3}" srcOrd="0" destOrd="0" presId="urn:microsoft.com/office/officeart/2005/8/layout/hProcess9"/>
    <dgm:cxn modelId="{AD1E2812-7BB9-40A9-9A00-220C5D96EB8E}" type="presParOf" srcId="{43398BA5-A64D-4B4D-8A40-5097A90F0663}" destId="{615DF102-4296-4227-87FD-A933DB512F88}" srcOrd="1" destOrd="0" presId="urn:microsoft.com/office/officeart/2005/8/layout/hProcess9"/>
    <dgm:cxn modelId="{89E7761E-BC34-4F40-ABDC-16A85678D587}" type="presParOf" srcId="{615DF102-4296-4227-87FD-A933DB512F88}" destId="{15D8B1E7-2F51-47E4-91BA-98CD53CAD1BA}" srcOrd="0" destOrd="0" presId="urn:microsoft.com/office/officeart/2005/8/layout/hProcess9"/>
    <dgm:cxn modelId="{3D4D9C97-20C0-48A4-B813-D4EFE6C0FBA9}" type="presParOf" srcId="{615DF102-4296-4227-87FD-A933DB512F88}" destId="{F888FA04-6C01-492B-A314-9903724AA6F4}" srcOrd="1" destOrd="0" presId="urn:microsoft.com/office/officeart/2005/8/layout/hProcess9"/>
    <dgm:cxn modelId="{A0C7BBD1-BABD-4F42-B393-6710661C64CC}" type="presParOf" srcId="{615DF102-4296-4227-87FD-A933DB512F88}" destId="{FA56338C-D1EF-4C13-80AB-CFB8489D6B3C}" srcOrd="2" destOrd="0" presId="urn:microsoft.com/office/officeart/2005/8/layout/hProcess9"/>
    <dgm:cxn modelId="{875B9571-5136-465A-B50F-9FC0432C1117}" type="presParOf" srcId="{615DF102-4296-4227-87FD-A933DB512F88}" destId="{730B7566-4CF5-4E4B-B2A4-CC2A48DD0877}" srcOrd="3" destOrd="0" presId="urn:microsoft.com/office/officeart/2005/8/layout/hProcess9"/>
    <dgm:cxn modelId="{ED322322-A25B-498F-89CD-D7CBA4BBF6AB}" type="presParOf" srcId="{615DF102-4296-4227-87FD-A933DB512F88}" destId="{C55D398A-B3FE-437A-8294-400769A5A6FD}" srcOrd="4" destOrd="0" presId="urn:microsoft.com/office/officeart/2005/8/layout/hProcess9"/>
  </dgm:cxnLst>
  <dgm:bg/>
  <dgm:whole/>
  <dgm:extLst>
    <a:ext uri="http://schemas.microsoft.com/office/drawing/2008/diagram">
      <dsp:dataModelExt xmlns:dsp="http://schemas.microsoft.com/office/drawing/2008/diagram" relId="rId7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1604E15-F982-4A95-9219-B5B1B773A6C3}">
      <dsp:nvSpPr>
        <dsp:cNvPr id="0" name=""/>
        <dsp:cNvSpPr/>
      </dsp:nvSpPr>
      <dsp:spPr>
        <a:xfrm>
          <a:off x="342899" y="0"/>
          <a:ext cx="3886200" cy="2743200"/>
        </a:xfrm>
        <a:prstGeom prst="rightArrow">
          <a:avLst/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15D8B1E7-2F51-47E4-91BA-98CD53CAD1BA}">
      <dsp:nvSpPr>
        <dsp:cNvPr id="0" name=""/>
        <dsp:cNvSpPr/>
      </dsp:nvSpPr>
      <dsp:spPr>
        <a:xfrm>
          <a:off x="154930" y="822960"/>
          <a:ext cx="1371600" cy="109728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2870" tIns="102870" rIns="102870" bIns="102870" numCol="1" spcCol="1270" anchor="ctr" anchorCtr="0">
          <a:noAutofit/>
        </a:bodyPr>
        <a:lstStyle/>
        <a:p>
          <a:pPr marL="0" lvl="0" indent="0" algn="ctr" defTabSz="1200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CA" sz="2700" kern="1200"/>
            <a:t>Make Money</a:t>
          </a:r>
        </a:p>
      </dsp:txBody>
      <dsp:txXfrm>
        <a:off x="208495" y="876525"/>
        <a:ext cx="1264470" cy="990150"/>
      </dsp:txXfrm>
    </dsp:sp>
    <dsp:sp modelId="{FA56338C-D1EF-4C13-80AB-CFB8489D6B3C}">
      <dsp:nvSpPr>
        <dsp:cNvPr id="0" name=""/>
        <dsp:cNvSpPr/>
      </dsp:nvSpPr>
      <dsp:spPr>
        <a:xfrm>
          <a:off x="1600199" y="822960"/>
          <a:ext cx="1371600" cy="109728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2870" tIns="102870" rIns="102870" bIns="102870" numCol="1" spcCol="1270" anchor="ctr" anchorCtr="0">
          <a:noAutofit/>
        </a:bodyPr>
        <a:lstStyle/>
        <a:p>
          <a:pPr marL="0" lvl="0" indent="0" algn="ctr" defTabSz="1200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CA" sz="2700" kern="1200"/>
            <a:t>Spend Money</a:t>
          </a:r>
        </a:p>
      </dsp:txBody>
      <dsp:txXfrm>
        <a:off x="1653764" y="876525"/>
        <a:ext cx="1264470" cy="990150"/>
      </dsp:txXfrm>
    </dsp:sp>
    <dsp:sp modelId="{C55D398A-B3FE-437A-8294-400769A5A6FD}">
      <dsp:nvSpPr>
        <dsp:cNvPr id="0" name=""/>
        <dsp:cNvSpPr/>
      </dsp:nvSpPr>
      <dsp:spPr>
        <a:xfrm>
          <a:off x="3045469" y="822960"/>
          <a:ext cx="1371600" cy="109728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2870" tIns="102870" rIns="102870" bIns="102870" numCol="1" spcCol="1270" anchor="ctr" anchorCtr="0">
          <a:noAutofit/>
        </a:bodyPr>
        <a:lstStyle/>
        <a:p>
          <a:pPr marL="0" lvl="0" indent="0" algn="ctr" defTabSz="1200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CA" sz="2700" kern="1200"/>
            <a:t>Track Money</a:t>
          </a:r>
        </a:p>
      </dsp:txBody>
      <dsp:txXfrm>
        <a:off x="3099034" y="876525"/>
        <a:ext cx="1264470" cy="99015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Process9">
  <dgm:title val=""/>
  <dgm:desc val=""/>
  <dgm:catLst>
    <dgm:cat type="process" pri="5000"/>
    <dgm:cat type="convert" pri="13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CompostProcess">
    <dgm:varLst>
      <dgm:dir/>
      <dgm:resizeHandles val="exact"/>
    </dgm:varLst>
    <dgm:alg type="composite">
      <dgm:param type="horzAlign" val="ctr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arrow" refType="w" fact="0.85"/>
      <dgm:constr type="h" for="ch" forName="arrow" refType="h"/>
      <dgm:constr type="ctrX" for="ch" forName="arrow" refType="w" fact="0.5"/>
      <dgm:constr type="ctrY" for="ch" forName="arrow" refType="h" fact="0.5"/>
      <dgm:constr type="w" for="ch" forName="linearProcess" refType="w"/>
      <dgm:constr type="h" for="ch" forName="linearProcess" refType="h" fact="0.4"/>
      <dgm:constr type="ctrX" for="ch" forName="linearProcess" refType="w" fact="0.5"/>
      <dgm:constr type="ctrY" for="ch" forName="linearProcess" refType="h" fact="0.5"/>
    </dgm:constrLst>
    <dgm:ruleLst/>
    <dgm:layoutNode name="arrow" styleLbl="bgShp">
      <dgm:alg type="sp"/>
      <dgm:choose name="Name0">
        <dgm:if name="Name1" func="var" arg="dir" op="equ" val="norm">
          <dgm:shape xmlns:r="http://schemas.openxmlformats.org/officeDocument/2006/relationships" type="rightArrow" r:blip="">
            <dgm:adjLst/>
          </dgm:shape>
        </dgm:if>
        <dgm:else name="Name2">
          <dgm:shape xmlns:r="http://schemas.openxmlformats.org/officeDocument/2006/relationships" type="leftArrow" r:blip="">
            <dgm:adjLst/>
          </dgm:shape>
        </dgm:else>
      </dgm:choose>
      <dgm:presOf/>
      <dgm:constrLst/>
      <dgm:ruleLst/>
    </dgm:layoutNode>
    <dgm:layoutNode name="linearProcess">
      <dgm:choose name="Name3">
        <dgm:if name="Name4" func="var" arg="dir" op="equ" val="norm">
          <dgm:alg type="lin"/>
        </dgm:if>
        <dgm:else name="Name5">
          <dgm:alg type="lin">
            <dgm:param type="linDir" val="fromR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userA" for="ch" ptType="node" refType="w"/>
        <dgm:constr type="h" for="ch" ptType="node" refType="h"/>
        <dgm:constr type="w" for="ch" ptType="node" op="equ"/>
        <dgm:constr type="w" for="ch" forName="sibTrans" refType="w" fact="0.05"/>
        <dgm:constr type="primFontSz" for="ch" ptType="node" op="equ" val="65"/>
      </dgm:constrLst>
      <dgm:ruleLst/>
      <dgm:forEach name="Name6" axis="ch" ptType="node">
        <dgm:layoutNode name="textNode" styleLbl="node1">
          <dgm:varLst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desOrSelf" ptType="node"/>
          <dgm:constrLst>
            <dgm:constr type="userA"/>
            <dgm:constr type="w" refType="userA" fact="0.3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w" val="NaN" fact="1" max="NaN"/>
            <dgm:rule type="primFontSz" val="5" fact="NaN" max="NaN"/>
          </dgm:ruleLst>
        </dgm:layoutNode>
        <dgm:forEach name="Name7" axis="followSib" ptType="sibTrans" cnt="1">
          <dgm:layoutNode name="sibTrans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forEach>
      </dgm:forEach>
    </dgm:layoutNod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Data" Target="../diagrams/data1.xml"/><Relationship Id="rId7" Type="http://schemas.microsoft.com/office/2007/relationships/diagramDrawing" Target="../diagrams/drawing1.xml"/><Relationship Id="rId2" Type="http://schemas.openxmlformats.org/officeDocument/2006/relationships/hyperlink" Target="http://2016.igem.org/Team:Pittsburgh/Attributions" TargetMode="External"/><Relationship Id="rId1" Type="http://schemas.openxmlformats.org/officeDocument/2006/relationships/image" Target="../media/image1.jpg"/><Relationship Id="rId6" Type="http://schemas.openxmlformats.org/officeDocument/2006/relationships/diagramColors" Target="../diagrams/colors1.xml"/><Relationship Id="rId5" Type="http://schemas.openxmlformats.org/officeDocument/2006/relationships/diagramQuickStyle" Target="../diagrams/quickStyle1.xml"/><Relationship Id="rId4" Type="http://schemas.openxmlformats.org/officeDocument/2006/relationships/diagramLayout" Target="../diagrams/layou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156882</xdr:colOff>
      <xdr:row>1</xdr:row>
      <xdr:rowOff>33619</xdr:rowOff>
    </xdr:from>
    <xdr:to>
      <xdr:col>1</xdr:col>
      <xdr:colOff>694764</xdr:colOff>
      <xdr:row>1</xdr:row>
      <xdr:rowOff>434789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58CD40-AE7E-4940-80BA-7D6178B25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918882" y="224119"/>
          <a:ext cx="537882" cy="401170"/>
        </a:xfrm>
        <a:prstGeom prst="rect">
          <a:avLst/>
        </a:prstGeom>
      </xdr:spPr>
    </xdr:pic>
    <xdr:clientData/>
  </xdr:twoCellAnchor>
  <xdr:twoCellAnchor>
    <xdr:from>
      <xdr:col>7</xdr:col>
      <xdr:colOff>112059</xdr:colOff>
      <xdr:row>3</xdr:row>
      <xdr:rowOff>291353</xdr:rowOff>
    </xdr:from>
    <xdr:to>
      <xdr:col>7</xdr:col>
      <xdr:colOff>733986</xdr:colOff>
      <xdr:row>5</xdr:row>
      <xdr:rowOff>28014</xdr:rowOff>
    </xdr:to>
    <xdr:sp macro="" textlink="">
      <xdr:nvSpPr>
        <xdr:cNvPr id="5" name="Arrow: Left 4">
          <a:extLst>
            <a:ext uri="{FF2B5EF4-FFF2-40B4-BE49-F238E27FC236}">
              <a16:creationId xmlns:a16="http://schemas.microsoft.com/office/drawing/2014/main" id="{390A8B67-552D-4CBD-9161-75D9DA591342}"/>
            </a:ext>
          </a:extLst>
        </xdr:cNvPr>
        <xdr:cNvSpPr/>
      </xdr:nvSpPr>
      <xdr:spPr>
        <a:xfrm>
          <a:off x="6096000" y="1148603"/>
          <a:ext cx="621927" cy="240926"/>
        </a:xfrm>
        <a:prstGeom prst="leftArrow">
          <a:avLst>
            <a:gd name="adj1" fmla="val 54651"/>
            <a:gd name="adj2" fmla="val 84884"/>
          </a:avLst>
        </a:prstGeom>
        <a:ln>
          <a:solidFill>
            <a:sysClr val="windowText" lastClr="00000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>
    <xdr:from>
      <xdr:col>5</xdr:col>
      <xdr:colOff>296957</xdr:colOff>
      <xdr:row>1</xdr:row>
      <xdr:rowOff>78441</xdr:rowOff>
    </xdr:from>
    <xdr:to>
      <xdr:col>5</xdr:col>
      <xdr:colOff>633133</xdr:colOff>
      <xdr:row>1</xdr:row>
      <xdr:rowOff>409014</xdr:rowOff>
    </xdr:to>
    <xdr:sp macro="" textlink="">
      <xdr:nvSpPr>
        <xdr:cNvPr id="6" name="Smiley Face 5">
          <a:extLst>
            <a:ext uri="{FF2B5EF4-FFF2-40B4-BE49-F238E27FC236}">
              <a16:creationId xmlns:a16="http://schemas.microsoft.com/office/drawing/2014/main" id="{6E91C6B2-A474-40DD-BB17-8AB2EF5417B7}"/>
            </a:ext>
          </a:extLst>
        </xdr:cNvPr>
        <xdr:cNvSpPr/>
      </xdr:nvSpPr>
      <xdr:spPr>
        <a:xfrm>
          <a:off x="4644839" y="268941"/>
          <a:ext cx="336176" cy="330573"/>
        </a:xfrm>
        <a:prstGeom prst="smileyFace">
          <a:avLst/>
        </a:prstGeom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>
    <xdr:from>
      <xdr:col>1</xdr:col>
      <xdr:colOff>308162</xdr:colOff>
      <xdr:row>17</xdr:row>
      <xdr:rowOff>17929</xdr:rowOff>
    </xdr:from>
    <xdr:to>
      <xdr:col>6</xdr:col>
      <xdr:colOff>476250</xdr:colOff>
      <xdr:row>31</xdr:row>
      <xdr:rowOff>94129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473A5CC6-C287-4BB8-8F2B-15ADC5FD3E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3" r:lo="rId4" r:qs="rId5" r:cs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C28118-E2E7-4A8D-A9B0-519FE6D41B9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5"/>
  <sheetViews>
    <sheetView topLeftCell="B4" zoomScale="170" zoomScaleNormal="170" workbookViewId="0">
      <selection activeCell="E6" sqref="E6"/>
    </sheetView>
  </sheetViews>
  <sheetFormatPr defaultColWidth="11.42578125" defaultRowHeight="15" x14ac:dyDescent="0.25"/>
  <cols>
    <col min="2" max="2" width="15.28515625" customWidth="1"/>
    <col min="3" max="3" width="12.5703125" bestFit="1" customWidth="1"/>
    <col min="4" max="4" width="12.28515625" customWidth="1"/>
    <col min="5" max="5" width="13.5703125" bestFit="1" customWidth="1"/>
    <col min="6" max="7" width="12.28515625" customWidth="1"/>
  </cols>
  <sheetData>
    <row r="2" spans="2:9" ht="37.5" thickBot="1" x14ac:dyDescent="0.75">
      <c r="B2" s="6" t="s">
        <v>0</v>
      </c>
      <c r="C2" s="6"/>
      <c r="D2" s="6"/>
      <c r="E2" s="6"/>
      <c r="F2" s="6"/>
    </row>
    <row r="4" spans="2:9" ht="24" customHeight="1" thickBot="1" x14ac:dyDescent="0.35">
      <c r="B4" s="4" t="s">
        <v>1</v>
      </c>
      <c r="C4" s="5">
        <v>43466</v>
      </c>
      <c r="D4" s="5">
        <v>43497</v>
      </c>
      <c r="E4" s="5">
        <v>43525</v>
      </c>
      <c r="F4" s="4" t="s">
        <v>7</v>
      </c>
      <c r="G4" s="4" t="s">
        <v>8</v>
      </c>
    </row>
    <row r="5" spans="2:9" ht="15.75" thickTop="1" x14ac:dyDescent="0.25">
      <c r="B5" t="s">
        <v>2</v>
      </c>
      <c r="C5" s="1">
        <v>1000</v>
      </c>
      <c r="D5" s="1">
        <v>1000</v>
      </c>
      <c r="E5" s="1">
        <v>900</v>
      </c>
      <c r="F5" s="1">
        <f>SUM(C5:E5)</f>
        <v>2900</v>
      </c>
      <c r="G5" s="7">
        <f>F5/$F$10</f>
        <v>0.58883248730964466</v>
      </c>
    </row>
    <row r="6" spans="2:9" x14ac:dyDescent="0.25">
      <c r="B6" t="s">
        <v>3</v>
      </c>
      <c r="C6" s="2">
        <v>125</v>
      </c>
      <c r="D6" s="2">
        <v>125</v>
      </c>
      <c r="E6" s="2">
        <v>100</v>
      </c>
      <c r="F6" s="2">
        <f>SUM(C6:E6)</f>
        <v>350</v>
      </c>
      <c r="G6" s="7">
        <f>F6/$F$10</f>
        <v>7.1065989847715741E-2</v>
      </c>
    </row>
    <row r="7" spans="2:9" x14ac:dyDescent="0.25">
      <c r="B7" t="s">
        <v>4</v>
      </c>
      <c r="C7" s="2">
        <v>150</v>
      </c>
      <c r="D7" s="2">
        <v>200</v>
      </c>
      <c r="E7" s="2">
        <v>175</v>
      </c>
      <c r="F7" s="2">
        <f>SUM(C7:E7)</f>
        <v>525</v>
      </c>
      <c r="G7" s="7">
        <f>F7/$F$10</f>
        <v>0.1065989847715736</v>
      </c>
      <c r="I7" t="s">
        <v>13</v>
      </c>
    </row>
    <row r="8" spans="2:9" x14ac:dyDescent="0.25">
      <c r="B8" t="s">
        <v>5</v>
      </c>
      <c r="C8" s="2">
        <v>200</v>
      </c>
      <c r="D8" s="2">
        <v>275</v>
      </c>
      <c r="E8" s="2">
        <v>350</v>
      </c>
      <c r="F8" s="2">
        <f>SUM(C8:E8)</f>
        <v>825</v>
      </c>
      <c r="G8" s="7">
        <f>F8/$F$10</f>
        <v>0.16751269035532995</v>
      </c>
    </row>
    <row r="9" spans="2:9" x14ac:dyDescent="0.25">
      <c r="B9" t="s">
        <v>6</v>
      </c>
      <c r="C9" s="2">
        <v>100</v>
      </c>
      <c r="D9" s="2">
        <v>100</v>
      </c>
      <c r="E9" s="2">
        <v>125</v>
      </c>
      <c r="F9" s="2">
        <f>SUM(C9:E9)</f>
        <v>325</v>
      </c>
      <c r="G9" s="7">
        <f>F9/$F$10</f>
        <v>6.5989847715736044E-2</v>
      </c>
    </row>
    <row r="10" spans="2:9" x14ac:dyDescent="0.25">
      <c r="B10" t="s">
        <v>7</v>
      </c>
      <c r="C10" s="1">
        <f>SUM(C5:C9)</f>
        <v>1575</v>
      </c>
      <c r="D10" s="1">
        <f>SUM(D5:D9)</f>
        <v>1700</v>
      </c>
      <c r="E10" s="1">
        <f>SUM(E5:E9)</f>
        <v>1650</v>
      </c>
      <c r="F10">
        <f>SUM(F5:F9)</f>
        <v>4925</v>
      </c>
      <c r="G10" s="7">
        <f>SUM(G5:G9)</f>
        <v>0.99999999999999989</v>
      </c>
    </row>
    <row r="12" spans="2:9" x14ac:dyDescent="0.25">
      <c r="B12" s="3" t="s">
        <v>9</v>
      </c>
      <c r="C12">
        <f>MIN(C5:C9)</f>
        <v>100</v>
      </c>
      <c r="D12">
        <f>MIN(D5:D9)</f>
        <v>100</v>
      </c>
      <c r="E12">
        <f>MIN(E5:E9)</f>
        <v>100</v>
      </c>
      <c r="F12">
        <f>MIN(F5:F9)</f>
        <v>325</v>
      </c>
      <c r="G12">
        <f>MIN(G5:G10)</f>
        <v>6.5989847715736044E-2</v>
      </c>
    </row>
    <row r="13" spans="2:9" x14ac:dyDescent="0.25">
      <c r="B13" s="3" t="s">
        <v>10</v>
      </c>
      <c r="C13">
        <f>MAX(C5:C9)</f>
        <v>1000</v>
      </c>
      <c r="D13">
        <f>MAX(D5:D9)</f>
        <v>1000</v>
      </c>
      <c r="E13">
        <f>MAX(E5:E9)</f>
        <v>900</v>
      </c>
      <c r="F13">
        <f>MAX(F5:F9)</f>
        <v>2900</v>
      </c>
      <c r="G13">
        <f>MAX(G5:G10)</f>
        <v>0.99999999999999989</v>
      </c>
    </row>
    <row r="14" spans="2:9" x14ac:dyDescent="0.25">
      <c r="B14" s="3" t="s">
        <v>11</v>
      </c>
      <c r="C14">
        <f>AVERAGE(C5:C9)</f>
        <v>315</v>
      </c>
      <c r="D14">
        <f>AVERAGE(D5:D9)</f>
        <v>340</v>
      </c>
      <c r="E14">
        <f>AVERAGE(E5:E9)</f>
        <v>330</v>
      </c>
      <c r="F14">
        <f>AVERAGE(F5:F9)</f>
        <v>985</v>
      </c>
      <c r="G14">
        <f>AVERAGE(G5:G10)</f>
        <v>0.33333333333333331</v>
      </c>
    </row>
    <row r="15" spans="2:9" x14ac:dyDescent="0.25">
      <c r="B15" s="3" t="s">
        <v>12</v>
      </c>
      <c r="C15">
        <f>COUNT(C5:C9)</f>
        <v>5</v>
      </c>
      <c r="D15">
        <f>COUNT(D5:D9)</f>
        <v>5</v>
      </c>
      <c r="E15">
        <f>COUNT(E5:E9)</f>
        <v>5</v>
      </c>
      <c r="F15">
        <f>COUNT(F5:F9)</f>
        <v>5</v>
      </c>
      <c r="G15">
        <f>COUNT(G5:G10)</f>
        <v>6</v>
      </c>
    </row>
  </sheetData>
  <mergeCells count="1">
    <mergeCell ref="B2:F2"/>
  </mergeCells>
  <conditionalFormatting sqref="C5:E9">
    <cfRule type="cellIs" dxfId="0" priority="1" operator="greaterThan">
      <formula>250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Monthly Budget</vt:lpstr>
      <vt:lpstr>Chart Monthly Budget</vt:lpstr>
    </vt:vector>
  </TitlesOfParts>
  <Company>ETS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Riopel</dc:creator>
  <cp:lastModifiedBy>Nicolas</cp:lastModifiedBy>
  <dcterms:created xsi:type="dcterms:W3CDTF">2022-01-26T18:10:55Z</dcterms:created>
  <dcterms:modified xsi:type="dcterms:W3CDTF">2022-01-31T04:53:42Z</dcterms:modified>
</cp:coreProperties>
</file>