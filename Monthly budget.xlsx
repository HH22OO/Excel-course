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as\Documents\GitHub\Excel-course\"/>
    </mc:Choice>
  </mc:AlternateContent>
  <xr:revisionPtr revIDLastSave="0" documentId="13_ncr:1_{2EFDD953-CE91-4F7D-B3E7-461A460C32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F11" i="1"/>
  <c r="G10" i="1"/>
  <c r="G9" i="1"/>
  <c r="G8" i="1"/>
  <c r="G6" i="1"/>
  <c r="G5" i="1"/>
  <c r="D11" i="1"/>
  <c r="E11" i="1"/>
  <c r="C11" i="1"/>
  <c r="E16" i="1"/>
  <c r="E15" i="1"/>
  <c r="E14" i="1"/>
  <c r="E13" i="1"/>
  <c r="D16" i="1"/>
  <c r="D15" i="1"/>
  <c r="D14" i="1"/>
  <c r="D13" i="1"/>
  <c r="C15" i="1"/>
  <c r="C16" i="1"/>
  <c r="C14" i="1"/>
  <c r="C13" i="1"/>
  <c r="H7" i="1" l="1"/>
  <c r="G13" i="1"/>
  <c r="G14" i="1"/>
  <c r="G15" i="1"/>
  <c r="G11" i="1"/>
  <c r="G16" i="1"/>
  <c r="H8" i="1" l="1"/>
  <c r="H6" i="1"/>
  <c r="H9" i="1"/>
  <c r="H10" i="1"/>
  <c r="H5" i="1"/>
  <c r="H11" i="1" l="1"/>
  <c r="H13" i="1" s="1"/>
  <c r="H14" i="1" l="1"/>
  <c r="H16" i="1"/>
  <c r="H15" i="1"/>
</calcChain>
</file>

<file path=xl/sharedStrings.xml><?xml version="1.0" encoding="utf-8"?>
<sst xmlns="http://schemas.openxmlformats.org/spreadsheetml/2006/main" count="15" uniqueCount="14">
  <si>
    <t>Monthly Budget</t>
  </si>
  <si>
    <t>Bills</t>
  </si>
  <si>
    <t>Rent</t>
  </si>
  <si>
    <t>Phone</t>
  </si>
  <si>
    <t>Credit Cards</t>
  </si>
  <si>
    <t>Food</t>
  </si>
  <si>
    <t>Candy</t>
  </si>
  <si>
    <t>Total</t>
  </si>
  <si>
    <t>Percent</t>
  </si>
  <si>
    <t>MIN</t>
  </si>
  <si>
    <t>MAX</t>
  </si>
  <si>
    <t>AVERAGE</t>
  </si>
  <si>
    <t>COUNT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</si>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</sst>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* #,##0.00_)\ &quot;$&quot;_ ;_ * \(#,##0.00\)\ &quot;$&quot;_ ;_ * &quot;-&quot;??_)\ &quot;$&quot;_ ;_ @_ "/>
    <numFmt numFmtId="43" formatCode="_ * #,##0.00_)_ ;_ * \(#,##0.00\)_ ;_ * &quot;-&quot;??_)_ ;_ @_ "/>
    <numFmt numFmtId="164" formatCode="mmm/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0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5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3" fillId="2" borderId="1" xfId="0" applyFont="1" applyFill="1" applyBorder="1"/>
    <xf numFmtId="0" fontId="0" fillId="2" borderId="1" xfId="0" applyFill="1" applyBorder="1"/>
    <xf numFmtId="44" fontId="0" fillId="0" borderId="0" xfId="2" applyFont="1"/>
    <xf numFmtId="43" fontId="0" fillId="0" borderId="0" xfId="1" applyFont="1"/>
    <xf numFmtId="9" fontId="0" fillId="0" borderId="0" xfId="3" applyFont="1"/>
    <xf numFmtId="0" fontId="2" fillId="3" borderId="0" xfId="0" applyFont="1" applyFill="1" applyAlignment="1">
      <alignment horizontal="righ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6"/>
  <sheetViews>
    <sheetView tabSelected="1" topLeftCell="A4" zoomScale="205" zoomScaleNormal="205" workbookViewId="0">
      <selection activeCell="B13" sqref="B13"/>
    </sheetView>
  </sheetViews>
  <sheetFormatPr defaultColWidth="11.42578125" defaultRowHeight="15" x14ac:dyDescent="0.25"/>
  <cols>
    <col min="2" max="2" width="15.28515625" customWidth="1"/>
    <col min="3" max="3" width="11.28515625" bestFit="1" customWidth="1"/>
    <col min="4" max="4" width="12.28515625" customWidth="1"/>
    <col min="5" max="6" width="11.28515625" bestFit="1" customWidth="1"/>
    <col min="7" max="8" width="12.28515625" customWidth="1"/>
  </cols>
  <sheetData>
    <row r="2" spans="2:8" ht="37.5" thickBot="1" x14ac:dyDescent="0.75">
      <c r="B2" s="2" t="s">
        <v>0</v>
      </c>
      <c r="C2" s="3"/>
      <c r="D2" s="3"/>
      <c r="E2" s="3"/>
      <c r="F2" s="3"/>
      <c r="G2" s="3"/>
    </row>
    <row r="4" spans="2:8" x14ac:dyDescent="0.25">
      <c r="B4" t="s">
        <v>1</v>
      </c>
      <c r="C4" s="1">
        <v>43466</v>
      </c>
      <c r="D4" s="1">
        <v>43497</v>
      </c>
      <c r="E4" s="1">
        <v>43525</v>
      </c>
      <c r="F4" s="1">
        <v>43556</v>
      </c>
      <c r="G4" t="s">
        <v>7</v>
      </c>
      <c r="H4" t="s">
        <v>8</v>
      </c>
    </row>
    <row r="5" spans="2:8" x14ac:dyDescent="0.25">
      <c r="B5" t="s">
        <v>2</v>
      </c>
      <c r="C5" s="4">
        <v>1000</v>
      </c>
      <c r="D5" s="4">
        <v>1000</v>
      </c>
      <c r="E5" s="4">
        <v>1000</v>
      </c>
      <c r="F5" s="4">
        <v>1100</v>
      </c>
      <c r="G5">
        <f>SUM(C5:F5)</f>
        <v>4100</v>
      </c>
      <c r="H5" s="6">
        <f>G5/$G$11</f>
        <v>0.57023643949930458</v>
      </c>
    </row>
    <row r="6" spans="2:8" x14ac:dyDescent="0.25">
      <c r="B6" t="s">
        <v>3</v>
      </c>
      <c r="C6" s="5">
        <v>125</v>
      </c>
      <c r="D6" s="5">
        <v>125</v>
      </c>
      <c r="E6" s="5">
        <v>100</v>
      </c>
      <c r="F6" s="5">
        <v>125</v>
      </c>
      <c r="G6">
        <f>SUM(C6:F6)</f>
        <v>475</v>
      </c>
      <c r="H6" s="6">
        <f>G6/$G$11</f>
        <v>6.6063977746870658E-2</v>
      </c>
    </row>
    <row r="7" spans="2:8" x14ac:dyDescent="0.25">
      <c r="B7" t="s">
        <v>13</v>
      </c>
      <c r="C7" s="5">
        <v>50</v>
      </c>
      <c r="D7" s="5">
        <v>50</v>
      </c>
      <c r="E7" s="5">
        <v>50</v>
      </c>
      <c r="F7" s="5">
        <v>40</v>
      </c>
      <c r="G7">
        <f>SUM(C7:F7)</f>
        <v>190</v>
      </c>
      <c r="H7" s="6">
        <f>G7/$G$11</f>
        <v>2.6425591098748261E-2</v>
      </c>
    </row>
    <row r="8" spans="2:8" x14ac:dyDescent="0.25">
      <c r="B8" t="s">
        <v>4</v>
      </c>
      <c r="C8" s="5">
        <v>150</v>
      </c>
      <c r="D8" s="5">
        <v>200</v>
      </c>
      <c r="E8" s="5">
        <v>175</v>
      </c>
      <c r="F8" s="5">
        <v>150</v>
      </c>
      <c r="G8">
        <f>SUM(C8:F8)</f>
        <v>675</v>
      </c>
      <c r="H8" s="6">
        <f>G8/$G$11</f>
        <v>9.3880389429763567E-2</v>
      </c>
    </row>
    <row r="9" spans="2:8" x14ac:dyDescent="0.25">
      <c r="B9" t="s">
        <v>5</v>
      </c>
      <c r="C9" s="5">
        <v>300</v>
      </c>
      <c r="D9" s="5">
        <v>275</v>
      </c>
      <c r="E9" s="5">
        <v>350</v>
      </c>
      <c r="F9" s="5">
        <v>400</v>
      </c>
      <c r="G9">
        <f>SUM(C9:F9)</f>
        <v>1325</v>
      </c>
      <c r="H9" s="6">
        <f>G9/$G$11</f>
        <v>0.18428372739916551</v>
      </c>
    </row>
    <row r="10" spans="2:8" x14ac:dyDescent="0.25">
      <c r="B10" t="s">
        <v>6</v>
      </c>
      <c r="C10" s="5">
        <v>100</v>
      </c>
      <c r="D10" s="5">
        <v>100</v>
      </c>
      <c r="E10" s="5">
        <v>125</v>
      </c>
      <c r="F10" s="5">
        <v>100</v>
      </c>
      <c r="G10">
        <f>SUM(C10:F10)</f>
        <v>425</v>
      </c>
      <c r="H10" s="6">
        <f>G10/$G$11</f>
        <v>5.9109874826147428E-2</v>
      </c>
    </row>
    <row r="11" spans="2:8" x14ac:dyDescent="0.25">
      <c r="B11" t="s">
        <v>7</v>
      </c>
      <c r="C11" s="4">
        <f>SUM(C5:C10)</f>
        <v>1725</v>
      </c>
      <c r="D11" s="4">
        <f>SUM(D5:D10)</f>
        <v>1750</v>
      </c>
      <c r="E11" s="4">
        <f>SUM(E5:E10)</f>
        <v>1800</v>
      </c>
      <c r="F11" s="4">
        <f>SUM(F5:F10)</f>
        <v>1915</v>
      </c>
      <c r="G11">
        <f>SUM(G5:G10)</f>
        <v>7190</v>
      </c>
      <c r="H11" s="6">
        <f>SUM(H5:H10)</f>
        <v>1</v>
      </c>
    </row>
    <row r="13" spans="2:8" x14ac:dyDescent="0.25">
      <c r="B13" s="7" t="s">
        <v>9</v>
      </c>
      <c r="C13">
        <f>MIN(C5:C10)</f>
        <v>50</v>
      </c>
      <c r="D13">
        <f>MIN(D5:D10)</f>
        <v>50</v>
      </c>
      <c r="E13">
        <f>MIN(E5:E10)</f>
        <v>50</v>
      </c>
      <c r="G13">
        <f>MIN(G5:G10)</f>
        <v>190</v>
      </c>
      <c r="H13">
        <f>MIN(H5:H11)</f>
        <v>2.6425591098748261E-2</v>
      </c>
    </row>
    <row r="14" spans="2:8" x14ac:dyDescent="0.25">
      <c r="B14" t="s">
        <v>10</v>
      </c>
      <c r="C14">
        <f>MAX(C5:C10)</f>
        <v>1000</v>
      </c>
      <c r="D14">
        <f>MAX(D5:D10)</f>
        <v>1000</v>
      </c>
      <c r="E14">
        <f>MAX(E5:E10)</f>
        <v>1000</v>
      </c>
      <c r="G14">
        <f>MAX(G5:G10)</f>
        <v>4100</v>
      </c>
      <c r="H14">
        <f>MAX(H5:H11)</f>
        <v>1</v>
      </c>
    </row>
    <row r="15" spans="2:8" x14ac:dyDescent="0.25">
      <c r="B15" t="s">
        <v>11</v>
      </c>
      <c r="C15">
        <f>AVERAGE(C5:C10)</f>
        <v>287.5</v>
      </c>
      <c r="D15">
        <f>AVERAGE(D5:D10)</f>
        <v>291.66666666666669</v>
      </c>
      <c r="E15">
        <f>AVERAGE(E5:E10)</f>
        <v>300</v>
      </c>
      <c r="G15">
        <f>AVERAGE(G5:G10)</f>
        <v>1198.3333333333333</v>
      </c>
      <c r="H15">
        <f>AVERAGE(H5:H11)</f>
        <v>0.2857142857142857</v>
      </c>
    </row>
    <row r="16" spans="2:8" x14ac:dyDescent="0.25">
      <c r="B16" t="s">
        <v>12</v>
      </c>
      <c r="C16">
        <f>COUNT(C5:C10)</f>
        <v>6</v>
      </c>
      <c r="D16">
        <f>COUNT(D5:D10)</f>
        <v>6</v>
      </c>
      <c r="E16">
        <f>COUNT(E5:E10)</f>
        <v>6</v>
      </c>
      <c r="G16">
        <f>COUNT(G5:G10)</f>
        <v>6</v>
      </c>
      <c r="H16">
        <f>COUNT(H5:H11)</f>
        <v>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Company>ETS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Riopel</dc:creator>
  <cp:lastModifiedBy>Nicolas</cp:lastModifiedBy>
  <dcterms:created xsi:type="dcterms:W3CDTF">2022-01-26T18:10:55Z</dcterms:created>
  <dcterms:modified xsi:type="dcterms:W3CDTF">2022-01-28T01:40:41Z</dcterms:modified>
</cp:coreProperties>
</file>